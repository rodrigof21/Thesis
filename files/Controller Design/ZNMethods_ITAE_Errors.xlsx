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Controller Design/"/>
    </mc:Choice>
  </mc:AlternateContent>
  <xr:revisionPtr revIDLastSave="54" documentId="8_{95F32091-D855-4402-ADD3-8991BE5FE270}" xr6:coauthVersionLast="47" xr6:coauthVersionMax="47" xr10:uidLastSave="{DD873D05-E60F-41DE-AA59-2D68210EC1D0}"/>
  <bookViews>
    <workbookView xWindow="-3696" yWindow="-17388" windowWidth="30936" windowHeight="17496" activeTab="1" xr2:uid="{6BCB78A0-0C46-4270-8084-079A19E30873}"/>
  </bookViews>
  <sheets>
    <sheet name="CritGain" sheetId="1" r:id="rId1"/>
    <sheet name="Folh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7" i="1" l="1"/>
  <c r="N36" i="1"/>
  <c r="N35" i="1"/>
  <c r="N34" i="1"/>
  <c r="N24" i="1"/>
  <c r="N23" i="1"/>
  <c r="N22" i="1"/>
  <c r="N21" i="1"/>
  <c r="N11" i="1"/>
  <c r="N10" i="1"/>
  <c r="N9" i="1"/>
  <c r="N8" i="1"/>
</calcChain>
</file>

<file path=xl/sharedStrings.xml><?xml version="1.0" encoding="utf-8"?>
<sst xmlns="http://schemas.openxmlformats.org/spreadsheetml/2006/main" count="170" uniqueCount="19">
  <si>
    <t>ν/ζ</t>
  </si>
  <si>
    <t>NaN</t>
  </si>
  <si>
    <t>Ziegler-Nichols Methods</t>
  </si>
  <si>
    <t>Mean</t>
  </si>
  <si>
    <t>median</t>
  </si>
  <si>
    <t>max</t>
  </si>
  <si>
    <t>min</t>
  </si>
  <si>
    <t>Metric</t>
  </si>
  <si>
    <t>Value</t>
  </si>
  <si>
    <t>Metric: ITAE for PID Controller</t>
  </si>
  <si>
    <t>Inf</t>
  </si>
  <si>
    <t>Note: 'NaN' implies that K_cr = Inf and 'Inf' implies that the system is unstable</t>
  </si>
  <si>
    <t>Note: 'NaN' implies Not S-Shaped and 'Inf' implies that the system is unstable</t>
  </si>
  <si>
    <t>Z-N Critical Gain</t>
  </si>
  <si>
    <t>Z-N S-Shape</t>
  </si>
  <si>
    <t>PSO</t>
  </si>
  <si>
    <t>iters</t>
  </si>
  <si>
    <t>particles</t>
  </si>
  <si>
    <t>x\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</si>
</sst>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2" fillId="0" borderId="2" xfId="0" applyFont="1" applyBorder="1" applyAlignment="1">
      <alignment horizontal="right"/>
    </xf>
    <xf numFmtId="0" fontId="0" fillId="0" borderId="25" xfId="0" applyBorder="1"/>
    <xf numFmtId="0" fontId="0" fillId="0" borderId="26" xfId="0" applyBorder="1"/>
    <xf numFmtId="0" fontId="0" fillId="0" borderId="3" xfId="0" applyBorder="1"/>
    <xf numFmtId="0" fontId="0" fillId="0" borderId="27" xfId="0" applyBorder="1"/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3" xfId="0" applyFont="1" applyBorder="1" applyAlignment="1">
      <alignment horizontal="center"/>
    </xf>
  </cellXfs>
  <cellStyles count="1">
    <cellStyle name="Normal" xfId="0" builtinId="0"/>
  </cellStyles>
  <dxfs count="8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4CF69-D65E-4E98-B411-A1D521930B25}">
  <dimension ref="B1:P42"/>
  <sheetViews>
    <sheetView topLeftCell="A8" zoomScaleNormal="100" workbookViewId="0">
      <selection activeCell="B33" sqref="B33"/>
    </sheetView>
  </sheetViews>
  <sheetFormatPr defaultRowHeight="14.4" x14ac:dyDescent="0.3"/>
  <cols>
    <col min="1" max="1" width="8.88671875" customWidth="1"/>
    <col min="2" max="2" width="5.88671875" customWidth="1"/>
    <col min="3" max="12" width="7.6640625" customWidth="1"/>
  </cols>
  <sheetData>
    <row r="1" spans="2:14" ht="15" thickBot="1" x14ac:dyDescent="0.35"/>
    <row r="2" spans="2:14" ht="15" thickBot="1" x14ac:dyDescent="0.35">
      <c r="B2" s="31" t="s">
        <v>2</v>
      </c>
      <c r="C2" s="32"/>
      <c r="D2" s="32"/>
      <c r="E2" s="33"/>
    </row>
    <row r="3" spans="2:14" ht="15" thickBot="1" x14ac:dyDescent="0.35">
      <c r="B3" s="28" t="s">
        <v>9</v>
      </c>
      <c r="C3" s="29"/>
      <c r="D3" s="29"/>
      <c r="E3" s="30"/>
    </row>
    <row r="5" spans="2:14" ht="15" thickBot="1" x14ac:dyDescent="0.35"/>
    <row r="6" spans="2:14" ht="15" thickBot="1" x14ac:dyDescent="0.35">
      <c r="B6" s="28" t="s">
        <v>13</v>
      </c>
      <c r="C6" s="29"/>
      <c r="D6" s="30"/>
    </row>
    <row r="7" spans="2:14" ht="15" thickBot="1" x14ac:dyDescent="0.35">
      <c r="B7" s="20" t="s">
        <v>0</v>
      </c>
      <c r="C7" s="17">
        <v>0.5</v>
      </c>
      <c r="D7" s="18">
        <v>1</v>
      </c>
      <c r="E7" s="18">
        <v>1.5</v>
      </c>
      <c r="F7" s="18">
        <v>2</v>
      </c>
      <c r="G7" s="18">
        <v>2.5</v>
      </c>
      <c r="H7" s="18">
        <v>3</v>
      </c>
      <c r="I7" s="18">
        <v>3.5</v>
      </c>
      <c r="J7" s="18">
        <v>4</v>
      </c>
      <c r="K7" s="18">
        <v>4.5</v>
      </c>
      <c r="L7" s="19">
        <v>5</v>
      </c>
      <c r="M7" s="21" t="s">
        <v>7</v>
      </c>
      <c r="N7" s="22" t="s">
        <v>8</v>
      </c>
    </row>
    <row r="8" spans="2:14" x14ac:dyDescent="0.3">
      <c r="B8" s="13">
        <v>0.5</v>
      </c>
      <c r="C8" s="23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3" t="s">
        <v>1</v>
      </c>
      <c r="M8" s="4" t="s">
        <v>3</v>
      </c>
      <c r="N8" s="5">
        <f>AVERAGE(C8:L15)</f>
        <v>13.904676086956519</v>
      </c>
    </row>
    <row r="9" spans="2:14" x14ac:dyDescent="0.3">
      <c r="B9" s="11">
        <v>0.7</v>
      </c>
      <c r="C9" s="4" t="s">
        <v>1</v>
      </c>
      <c r="D9" s="1" t="s">
        <v>1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1</v>
      </c>
      <c r="K9" s="1" t="s">
        <v>1</v>
      </c>
      <c r="L9" s="5" t="s">
        <v>1</v>
      </c>
      <c r="M9" s="4" t="s">
        <v>4</v>
      </c>
      <c r="N9" s="5">
        <f>MEDIAN(C8:L15)</f>
        <v>2.8556499999999998</v>
      </c>
    </row>
    <row r="10" spans="2:14" x14ac:dyDescent="0.3">
      <c r="B10" s="11">
        <v>0.9</v>
      </c>
      <c r="C10" s="4" t="s">
        <v>1</v>
      </c>
      <c r="D10" s="1" t="s">
        <v>1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1</v>
      </c>
      <c r="K10" s="1" t="s">
        <v>1</v>
      </c>
      <c r="L10" s="5" t="s">
        <v>1</v>
      </c>
      <c r="M10" s="4" t="s">
        <v>5</v>
      </c>
      <c r="N10" s="5">
        <f>MAX(C8:L15)</f>
        <v>111.7454</v>
      </c>
    </row>
    <row r="11" spans="2:14" x14ac:dyDescent="0.3">
      <c r="B11" s="11">
        <v>1.1000000000000001</v>
      </c>
      <c r="C11" s="4">
        <v>3.4304000000000001</v>
      </c>
      <c r="D11" s="1">
        <v>2.0329000000000002</v>
      </c>
      <c r="E11" s="1">
        <v>2.0609999999999999</v>
      </c>
      <c r="F11" s="1">
        <v>1.9373</v>
      </c>
      <c r="G11" s="1">
        <v>2.0203000000000002</v>
      </c>
      <c r="H11" s="1">
        <v>2.5186000000000002</v>
      </c>
      <c r="I11" s="1">
        <v>2.8367</v>
      </c>
      <c r="J11" s="1">
        <v>0.1535</v>
      </c>
      <c r="K11" s="1">
        <v>4.4545000000000003</v>
      </c>
      <c r="L11" s="5">
        <v>4.5002000000000004</v>
      </c>
      <c r="M11" s="4" t="s">
        <v>6</v>
      </c>
      <c r="N11" s="5">
        <f>MIN(C8:L15)</f>
        <v>0.1535</v>
      </c>
    </row>
    <row r="12" spans="2:14" x14ac:dyDescent="0.3">
      <c r="B12" s="11">
        <v>1.3</v>
      </c>
      <c r="C12" s="4">
        <v>9.2552000000000003</v>
      </c>
      <c r="D12" s="1">
        <v>3.1960000000000002</v>
      </c>
      <c r="E12" s="1">
        <v>1.8362000000000001</v>
      </c>
      <c r="F12" s="1">
        <v>1.3626</v>
      </c>
      <c r="G12" s="1">
        <v>1.0617000000000001</v>
      </c>
      <c r="H12" s="1">
        <v>0.99560000000000004</v>
      </c>
      <c r="I12" s="1">
        <v>0.85250000000000004</v>
      </c>
      <c r="J12" s="1">
        <v>0.78469999999999995</v>
      </c>
      <c r="K12" s="1">
        <v>0.72299999999999998</v>
      </c>
      <c r="L12" s="5">
        <v>0.77600000000000002</v>
      </c>
      <c r="M12" s="4"/>
      <c r="N12" s="5"/>
    </row>
    <row r="13" spans="2:14" x14ac:dyDescent="0.3">
      <c r="B13" s="11">
        <v>1.5</v>
      </c>
      <c r="C13" s="4">
        <v>111.7454</v>
      </c>
      <c r="D13" s="1">
        <v>8.3779000000000003</v>
      </c>
      <c r="E13" s="1">
        <v>4.5984999999999996</v>
      </c>
      <c r="F13" s="1">
        <v>2.8746</v>
      </c>
      <c r="G13" s="1">
        <v>1.9689000000000001</v>
      </c>
      <c r="H13" s="1">
        <v>1.444</v>
      </c>
      <c r="I13" s="1">
        <v>1.4515</v>
      </c>
      <c r="J13" s="1">
        <v>0.87050000000000005</v>
      </c>
      <c r="K13" s="1">
        <v>0.68079999999999996</v>
      </c>
      <c r="L13" s="5">
        <v>0.94569999999999999</v>
      </c>
      <c r="M13" s="4"/>
      <c r="N13" s="5"/>
    </row>
    <row r="14" spans="2:14" x14ac:dyDescent="0.3">
      <c r="B14" s="11">
        <v>1.7</v>
      </c>
      <c r="C14" s="4" t="s">
        <v>10</v>
      </c>
      <c r="D14" s="1">
        <v>32.021099999999997</v>
      </c>
      <c r="E14" s="1">
        <v>17.4697</v>
      </c>
      <c r="F14" s="1">
        <v>11.9275</v>
      </c>
      <c r="G14" s="1">
        <v>8.2800999999999991</v>
      </c>
      <c r="H14" s="1">
        <v>5.9794</v>
      </c>
      <c r="I14" s="1">
        <v>4.4930000000000003</v>
      </c>
      <c r="J14" s="1">
        <v>3.4874000000000001</v>
      </c>
      <c r="K14" s="1">
        <v>2.7772000000000001</v>
      </c>
      <c r="L14" s="5">
        <v>2.2574999999999998</v>
      </c>
      <c r="M14" s="4"/>
      <c r="N14" s="5"/>
    </row>
    <row r="15" spans="2:14" ht="15" thickBot="1" x14ac:dyDescent="0.35">
      <c r="B15" s="24">
        <v>1.9</v>
      </c>
      <c r="C15" s="6" t="s">
        <v>10</v>
      </c>
      <c r="D15" s="7" t="s">
        <v>10</v>
      </c>
      <c r="E15" s="7" t="s">
        <v>10</v>
      </c>
      <c r="F15" s="7">
        <v>100.63500000000001</v>
      </c>
      <c r="G15" s="7">
        <v>54.602899999999998</v>
      </c>
      <c r="H15" s="7">
        <v>51.958799999999997</v>
      </c>
      <c r="I15" s="7">
        <v>47.670699999999997</v>
      </c>
      <c r="J15" s="7">
        <v>43.0122</v>
      </c>
      <c r="K15" s="7">
        <v>38.023299999999999</v>
      </c>
      <c r="L15" s="8">
        <v>33.272599999999997</v>
      </c>
      <c r="M15" s="6"/>
      <c r="N15" s="8"/>
    </row>
    <row r="16" spans="2:14" ht="15" thickBot="1" x14ac:dyDescent="0.35">
      <c r="B16" s="25" t="s">
        <v>11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7"/>
    </row>
    <row r="18" spans="2:14" ht="15" thickBot="1" x14ac:dyDescent="0.35"/>
    <row r="19" spans="2:14" ht="15" thickBot="1" x14ac:dyDescent="0.35">
      <c r="B19" s="28" t="s">
        <v>14</v>
      </c>
      <c r="C19" s="29"/>
      <c r="D19" s="30"/>
    </row>
    <row r="20" spans="2:14" ht="15" thickBot="1" x14ac:dyDescent="0.35">
      <c r="B20" s="20" t="s">
        <v>0</v>
      </c>
      <c r="C20" s="17">
        <v>0.5</v>
      </c>
      <c r="D20" s="18">
        <v>1</v>
      </c>
      <c r="E20" s="18">
        <v>1.5</v>
      </c>
      <c r="F20" s="18">
        <v>2</v>
      </c>
      <c r="G20" s="18">
        <v>2.5</v>
      </c>
      <c r="H20" s="18">
        <v>3</v>
      </c>
      <c r="I20" s="18">
        <v>3.5</v>
      </c>
      <c r="J20" s="18">
        <v>4</v>
      </c>
      <c r="K20" s="18">
        <v>4.5</v>
      </c>
      <c r="L20" s="19">
        <v>5</v>
      </c>
      <c r="M20" s="21" t="s">
        <v>7</v>
      </c>
      <c r="N20" s="22" t="s">
        <v>8</v>
      </c>
    </row>
    <row r="21" spans="2:14" x14ac:dyDescent="0.3">
      <c r="B21" s="13">
        <v>0.5</v>
      </c>
      <c r="C21" s="14">
        <v>9.2700000000000005E-2</v>
      </c>
      <c r="D21" s="15">
        <v>3.9E-2</v>
      </c>
      <c r="E21" s="15">
        <v>2.1100000000000001E-2</v>
      </c>
      <c r="F21" s="15">
        <v>1.35E-2</v>
      </c>
      <c r="G21" s="15">
        <v>8.8999999999999999E-3</v>
      </c>
      <c r="H21" s="15">
        <v>6.4999999999999997E-3</v>
      </c>
      <c r="I21" s="15">
        <v>4.8999999999999998E-3</v>
      </c>
      <c r="J21" s="15">
        <v>3.8E-3</v>
      </c>
      <c r="K21" s="15">
        <v>3.0000000000000001E-3</v>
      </c>
      <c r="L21" s="16">
        <v>2.5000000000000001E-3</v>
      </c>
      <c r="M21" s="4" t="s">
        <v>3</v>
      </c>
      <c r="N21" s="5">
        <f>AVERAGE(C21:L28)</f>
        <v>9.6706896551724139E-2</v>
      </c>
    </row>
    <row r="22" spans="2:14" x14ac:dyDescent="0.3">
      <c r="B22" s="11">
        <v>0.7</v>
      </c>
      <c r="C22" s="9">
        <v>0.48880000000000001</v>
      </c>
      <c r="D22" s="1">
        <v>0.19500000000000001</v>
      </c>
      <c r="E22" s="1">
        <v>0.10299999999999999</v>
      </c>
      <c r="F22" s="1">
        <v>6.3200000000000006E-2</v>
      </c>
      <c r="G22" s="1">
        <v>4.24E-2</v>
      </c>
      <c r="H22" s="1">
        <v>3.0300000000000001E-2</v>
      </c>
      <c r="I22" s="1">
        <v>2.2499999999999999E-2</v>
      </c>
      <c r="J22" s="1">
        <v>1.7299999999999999E-2</v>
      </c>
      <c r="K22" s="1">
        <v>1.37E-2</v>
      </c>
      <c r="L22" s="5">
        <v>1.11E-2</v>
      </c>
      <c r="M22" s="4" t="s">
        <v>4</v>
      </c>
      <c r="N22" s="5">
        <f>MEDIAN(C21:L28)</f>
        <v>3.9E-2</v>
      </c>
    </row>
    <row r="23" spans="2:14" x14ac:dyDescent="0.3">
      <c r="B23" s="11">
        <v>0.9</v>
      </c>
      <c r="C23" s="9" t="s">
        <v>1</v>
      </c>
      <c r="D23" s="1">
        <v>0.65229999999999999</v>
      </c>
      <c r="E23" s="1">
        <v>0.34379999999999999</v>
      </c>
      <c r="F23" s="1">
        <v>0.2089</v>
      </c>
      <c r="G23" s="1">
        <v>0.1288</v>
      </c>
      <c r="H23" s="1">
        <v>9.0200000000000002E-2</v>
      </c>
      <c r="I23" s="1">
        <v>7.0699999999999999E-2</v>
      </c>
      <c r="J23" s="1">
        <v>5.2200000000000003E-2</v>
      </c>
      <c r="K23" s="1">
        <v>4.0500000000000001E-2</v>
      </c>
      <c r="L23" s="5">
        <v>3.39E-2</v>
      </c>
      <c r="M23" s="4" t="s">
        <v>5</v>
      </c>
      <c r="N23" s="5">
        <f>MAX(C21:L28)</f>
        <v>0.65229999999999999</v>
      </c>
    </row>
    <row r="24" spans="2:14" x14ac:dyDescent="0.3">
      <c r="B24" s="11">
        <v>1.1000000000000001</v>
      </c>
      <c r="C24" s="9" t="s">
        <v>1</v>
      </c>
      <c r="D24" s="1" t="s">
        <v>1</v>
      </c>
      <c r="E24" s="1" t="s">
        <v>1</v>
      </c>
      <c r="F24" s="1" t="s">
        <v>1</v>
      </c>
      <c r="G24" s="1" t="s">
        <v>1</v>
      </c>
      <c r="H24" s="1" t="s">
        <v>1</v>
      </c>
      <c r="I24" s="1" t="s">
        <v>1</v>
      </c>
      <c r="J24" s="1" t="s">
        <v>1</v>
      </c>
      <c r="K24" s="1" t="s">
        <v>1</v>
      </c>
      <c r="L24" s="5" t="s">
        <v>1</v>
      </c>
      <c r="M24" s="4" t="s">
        <v>6</v>
      </c>
      <c r="N24" s="5">
        <f>MIN(C21:L28)</f>
        <v>2.5000000000000001E-3</v>
      </c>
    </row>
    <row r="25" spans="2:14" x14ac:dyDescent="0.3">
      <c r="B25" s="11">
        <v>1.3</v>
      </c>
      <c r="C25" s="9" t="s">
        <v>1</v>
      </c>
      <c r="D25" s="1" t="s">
        <v>1</v>
      </c>
      <c r="E25" s="1" t="s">
        <v>1</v>
      </c>
      <c r="F25" s="1" t="s">
        <v>1</v>
      </c>
      <c r="G25" s="1" t="s">
        <v>1</v>
      </c>
      <c r="H25" s="1" t="s">
        <v>1</v>
      </c>
      <c r="I25" s="1" t="s">
        <v>1</v>
      </c>
      <c r="J25" s="1" t="s">
        <v>1</v>
      </c>
      <c r="K25" s="1" t="s">
        <v>1</v>
      </c>
      <c r="L25" s="5" t="s">
        <v>1</v>
      </c>
      <c r="M25" s="4"/>
      <c r="N25" s="5"/>
    </row>
    <row r="26" spans="2:14" x14ac:dyDescent="0.3">
      <c r="B26" s="11">
        <v>1.5</v>
      </c>
      <c r="C26" s="9" t="s">
        <v>1</v>
      </c>
      <c r="D26" s="1" t="s">
        <v>1</v>
      </c>
      <c r="E26" s="1" t="s">
        <v>1</v>
      </c>
      <c r="F26" s="1" t="s">
        <v>1</v>
      </c>
      <c r="G26" s="1" t="s">
        <v>1</v>
      </c>
      <c r="H26" s="1" t="s">
        <v>1</v>
      </c>
      <c r="I26" s="1" t="s">
        <v>1</v>
      </c>
      <c r="J26" s="1" t="s">
        <v>1</v>
      </c>
      <c r="K26" s="1" t="s">
        <v>1</v>
      </c>
      <c r="L26" s="5" t="s">
        <v>1</v>
      </c>
      <c r="M26" s="4"/>
      <c r="N26" s="5"/>
    </row>
    <row r="27" spans="2:14" x14ac:dyDescent="0.3">
      <c r="B27" s="11">
        <v>1.7</v>
      </c>
      <c r="C27" s="9" t="s">
        <v>10</v>
      </c>
      <c r="D27" s="1" t="s">
        <v>1</v>
      </c>
      <c r="E27" s="1" t="s">
        <v>1</v>
      </c>
      <c r="F27" s="1" t="s">
        <v>1</v>
      </c>
      <c r="G27" s="1" t="s">
        <v>1</v>
      </c>
      <c r="H27" s="1" t="s">
        <v>1</v>
      </c>
      <c r="I27" s="1" t="s">
        <v>1</v>
      </c>
      <c r="J27" s="1" t="s">
        <v>1</v>
      </c>
      <c r="K27" s="1" t="s">
        <v>1</v>
      </c>
      <c r="L27" s="5" t="s">
        <v>1</v>
      </c>
      <c r="M27" s="4"/>
      <c r="N27" s="5"/>
    </row>
    <row r="28" spans="2:14" ht="15" thickBot="1" x14ac:dyDescent="0.35">
      <c r="B28" s="12">
        <v>1.9</v>
      </c>
      <c r="C28" s="10" t="s">
        <v>10</v>
      </c>
      <c r="D28" s="7" t="s">
        <v>10</v>
      </c>
      <c r="E28" s="7" t="s">
        <v>10</v>
      </c>
      <c r="F28" s="7" t="s">
        <v>1</v>
      </c>
      <c r="G28" s="7" t="s">
        <v>1</v>
      </c>
      <c r="H28" s="7" t="s">
        <v>1</v>
      </c>
      <c r="I28" s="7" t="s">
        <v>1</v>
      </c>
      <c r="J28" s="7" t="s">
        <v>1</v>
      </c>
      <c r="K28" s="7" t="s">
        <v>1</v>
      </c>
      <c r="L28" s="8" t="s">
        <v>1</v>
      </c>
      <c r="M28" s="6"/>
      <c r="N28" s="8"/>
    </row>
    <row r="29" spans="2:14" ht="15" thickBot="1" x14ac:dyDescent="0.35">
      <c r="B29" s="25" t="s">
        <v>12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7"/>
    </row>
    <row r="31" spans="2:14" ht="15" thickBot="1" x14ac:dyDescent="0.35"/>
    <row r="32" spans="2:14" ht="15" thickBot="1" x14ac:dyDescent="0.35">
      <c r="B32" s="28" t="s">
        <v>15</v>
      </c>
      <c r="C32" s="29"/>
      <c r="D32" s="30"/>
    </row>
    <row r="33" spans="2:16" ht="15" thickBot="1" x14ac:dyDescent="0.35">
      <c r="B33" s="20" t="s">
        <v>0</v>
      </c>
      <c r="C33" s="17">
        <v>0.5</v>
      </c>
      <c r="D33" s="18">
        <v>1</v>
      </c>
      <c r="E33" s="18">
        <v>1.5</v>
      </c>
      <c r="F33" s="18">
        <v>2</v>
      </c>
      <c r="G33" s="18">
        <v>2.5</v>
      </c>
      <c r="H33" s="18">
        <v>3</v>
      </c>
      <c r="I33" s="18">
        <v>3.5</v>
      </c>
      <c r="J33" s="18">
        <v>4</v>
      </c>
      <c r="K33" s="18">
        <v>4.5</v>
      </c>
      <c r="L33" s="19">
        <v>5</v>
      </c>
      <c r="M33" s="21" t="s">
        <v>7</v>
      </c>
      <c r="N33" s="22" t="s">
        <v>8</v>
      </c>
      <c r="O33" t="s">
        <v>16</v>
      </c>
      <c r="P33">
        <v>30</v>
      </c>
    </row>
    <row r="34" spans="2:16" x14ac:dyDescent="0.3">
      <c r="B34" s="13">
        <v>0.5</v>
      </c>
      <c r="C34" s="14">
        <v>2.29E-2</v>
      </c>
      <c r="D34" s="15">
        <v>5.1900000000000002E-2</v>
      </c>
      <c r="E34" s="15">
        <v>8.2000000000000003E-2</v>
      </c>
      <c r="F34" s="15">
        <v>0.1129</v>
      </c>
      <c r="G34" s="15">
        <v>0.14410000000000001</v>
      </c>
      <c r="H34" s="15">
        <v>0.1759</v>
      </c>
      <c r="I34" s="15">
        <v>0.20710000000000001</v>
      </c>
      <c r="J34" s="15">
        <v>0.23860000000000001</v>
      </c>
      <c r="K34" s="15">
        <v>0.27060000000000001</v>
      </c>
      <c r="L34" s="16">
        <v>0.30299999999999999</v>
      </c>
      <c r="M34" s="4" t="s">
        <v>3</v>
      </c>
      <c r="N34" s="5">
        <f>AVERAGE(C34:L41)</f>
        <v>0.11138157894736841</v>
      </c>
      <c r="O34" t="s">
        <v>17</v>
      </c>
      <c r="P34">
        <v>30</v>
      </c>
    </row>
    <row r="35" spans="2:16" x14ac:dyDescent="0.3">
      <c r="B35" s="11">
        <v>0.7</v>
      </c>
      <c r="C35" s="9">
        <v>1.3299999999999999E-2</v>
      </c>
      <c r="D35" s="1">
        <v>3.4599999999999999E-2</v>
      </c>
      <c r="E35" s="1">
        <v>5.6399999999999999E-2</v>
      </c>
      <c r="F35" s="1">
        <v>7.8200000000000006E-2</v>
      </c>
      <c r="G35" s="1">
        <v>0.1</v>
      </c>
      <c r="H35" s="1">
        <v>0.12180000000000001</v>
      </c>
      <c r="I35" s="1">
        <v>0.14360000000000001</v>
      </c>
      <c r="J35" s="1">
        <v>0.16539999999999999</v>
      </c>
      <c r="K35" s="1">
        <v>0.18809999999999999</v>
      </c>
      <c r="L35" s="5">
        <v>0.20910000000000001</v>
      </c>
      <c r="M35" s="4" t="s">
        <v>4</v>
      </c>
      <c r="N35" s="5">
        <f>MEDIAN(C34:L41)</f>
        <v>0.10395</v>
      </c>
    </row>
    <row r="36" spans="2:16" x14ac:dyDescent="0.3">
      <c r="B36" s="11">
        <v>0.9</v>
      </c>
      <c r="C36" s="9">
        <v>3.3E-3</v>
      </c>
      <c r="D36" s="1">
        <v>1.46E-2</v>
      </c>
      <c r="E36" s="1">
        <v>3.2000000000000001E-2</v>
      </c>
      <c r="F36" s="1">
        <v>4.6300000000000001E-2</v>
      </c>
      <c r="G36" s="1">
        <v>6.08E-2</v>
      </c>
      <c r="H36" s="1">
        <v>7.5399999999999995E-2</v>
      </c>
      <c r="I36" s="1">
        <v>9.01E-2</v>
      </c>
      <c r="J36" s="1">
        <v>0.1048</v>
      </c>
      <c r="K36" s="1">
        <v>0.1196</v>
      </c>
      <c r="L36" s="5">
        <v>0.13450000000000001</v>
      </c>
      <c r="M36" s="4" t="s">
        <v>5</v>
      </c>
      <c r="N36" s="5">
        <f>MAX(C34:L41)</f>
        <v>0.30299999999999999</v>
      </c>
    </row>
    <row r="37" spans="2:16" x14ac:dyDescent="0.3">
      <c r="B37" s="11">
        <v>1.1000000000000001</v>
      </c>
      <c r="C37" s="9">
        <v>2.3999999999999998E-3</v>
      </c>
      <c r="D37" s="1">
        <v>9.2999999999999992E-3</v>
      </c>
      <c r="E37" s="1">
        <v>2.23E-2</v>
      </c>
      <c r="F37" s="1">
        <v>3.6499999999999998E-2</v>
      </c>
      <c r="G37" s="1">
        <v>5.1700000000000003E-2</v>
      </c>
      <c r="H37" s="1">
        <v>6.5000000000000002E-2</v>
      </c>
      <c r="I37" s="1">
        <v>7.7600000000000002E-2</v>
      </c>
      <c r="J37" s="1">
        <v>9.0399999999999994E-2</v>
      </c>
      <c r="K37" s="1">
        <v>0.10349999999999999</v>
      </c>
      <c r="L37" s="5">
        <v>0.1168</v>
      </c>
      <c r="M37" s="4" t="s">
        <v>6</v>
      </c>
      <c r="N37" s="5">
        <f>MIN(C34:L41)</f>
        <v>2.3999999999999998E-3</v>
      </c>
    </row>
    <row r="38" spans="2:16" x14ac:dyDescent="0.3">
      <c r="B38" s="11">
        <v>1.3</v>
      </c>
      <c r="C38" s="9">
        <v>2.1499999999999998E-2</v>
      </c>
      <c r="D38" s="1">
        <v>1.6500000000000001E-2</v>
      </c>
      <c r="E38" s="1">
        <v>3.6200000000000003E-2</v>
      </c>
      <c r="F38" s="1">
        <v>6.0100000000000001E-2</v>
      </c>
      <c r="G38" s="1">
        <v>7.4300000000000005E-2</v>
      </c>
      <c r="H38" s="1">
        <v>8.9099999999999999E-2</v>
      </c>
      <c r="I38" s="1">
        <v>0.10440000000000001</v>
      </c>
      <c r="J38" s="1">
        <v>0.1198</v>
      </c>
      <c r="K38" s="1">
        <v>0.1368</v>
      </c>
      <c r="L38" s="5">
        <v>0.15590000000000001</v>
      </c>
      <c r="M38" s="4"/>
      <c r="N38" s="5"/>
    </row>
    <row r="39" spans="2:16" x14ac:dyDescent="0.3">
      <c r="B39" s="11">
        <v>1.5</v>
      </c>
      <c r="C39" s="9">
        <v>3.5099999999999999E-2</v>
      </c>
      <c r="D39" s="1">
        <v>2.12E-2</v>
      </c>
      <c r="E39" s="1">
        <v>4.87E-2</v>
      </c>
      <c r="F39" s="1">
        <v>7.1199999999999999E-2</v>
      </c>
      <c r="G39" s="1">
        <v>9.69E-2</v>
      </c>
      <c r="H39" s="1">
        <v>0.1229</v>
      </c>
      <c r="I39" s="1">
        <v>0.14710000000000001</v>
      </c>
      <c r="J39" s="1">
        <v>0.17230000000000001</v>
      </c>
      <c r="K39" s="1">
        <v>0.19889999999999999</v>
      </c>
      <c r="L39" s="5">
        <v>0.22689999999999999</v>
      </c>
      <c r="M39" s="4"/>
      <c r="N39" s="5"/>
    </row>
    <row r="40" spans="2:16" x14ac:dyDescent="0.3">
      <c r="B40" s="11">
        <v>1.7</v>
      </c>
      <c r="C40" s="9" t="s">
        <v>10</v>
      </c>
      <c r="D40" s="1">
        <v>0.06</v>
      </c>
      <c r="E40" s="1">
        <v>7.1099999999999997E-2</v>
      </c>
      <c r="F40" s="1">
        <v>8.8400000000000006E-2</v>
      </c>
      <c r="G40" s="1">
        <v>0.1091</v>
      </c>
      <c r="H40" s="1">
        <v>0.1318</v>
      </c>
      <c r="I40" s="1">
        <v>0.15620000000000001</v>
      </c>
      <c r="J40" s="1">
        <v>0.18210000000000001</v>
      </c>
      <c r="K40" s="1">
        <v>0.2089</v>
      </c>
      <c r="L40" s="5">
        <v>0.2364</v>
      </c>
      <c r="M40" s="4"/>
      <c r="N40" s="5"/>
    </row>
    <row r="41" spans="2:16" ht="15" thickBot="1" x14ac:dyDescent="0.35">
      <c r="B41" s="12">
        <v>1.9</v>
      </c>
      <c r="C41" s="10" t="s">
        <v>10</v>
      </c>
      <c r="D41" s="7" t="s">
        <v>10</v>
      </c>
      <c r="E41" s="7" t="s">
        <v>10</v>
      </c>
      <c r="F41" s="7">
        <v>0.14130000000000001</v>
      </c>
      <c r="G41" s="7">
        <v>0.14530000000000001</v>
      </c>
      <c r="H41" s="7">
        <v>0.1588</v>
      </c>
      <c r="I41" s="7">
        <v>0.1757</v>
      </c>
      <c r="J41" s="7">
        <v>0.19739999999999999</v>
      </c>
      <c r="K41" s="7">
        <v>0.22239999999999999</v>
      </c>
      <c r="L41" s="8">
        <v>0.24790000000000001</v>
      </c>
      <c r="M41" s="6"/>
      <c r="N41" s="8"/>
    </row>
    <row r="42" spans="2:16" ht="15" thickBot="1" x14ac:dyDescent="0.35">
      <c r="B42" s="25" t="s">
        <v>12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</row>
  </sheetData>
  <mergeCells count="5">
    <mergeCell ref="B19:D19"/>
    <mergeCell ref="B2:E2"/>
    <mergeCell ref="B3:E3"/>
    <mergeCell ref="B6:D6"/>
    <mergeCell ref="B32:D32"/>
  </mergeCells>
  <conditionalFormatting sqref="C8:L15 M8:M11">
    <cfRule type="containsText" dxfId="7" priority="12" operator="containsText" text="NaN">
      <formula>NOT(ISERROR(SEARCH("NaN",C8)))</formula>
    </cfRule>
    <cfRule type="colorScale" priority="13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8:L15">
    <cfRule type="containsText" dxfId="6" priority="6" operator="containsText" text="Inf">
      <formula>NOT(ISERROR(SEARCH("Inf",C8)))</formula>
    </cfRule>
  </conditionalFormatting>
  <conditionalFormatting sqref="C21:L28">
    <cfRule type="containsText" dxfId="5" priority="7" operator="containsText" text="Inf">
      <formula>NOT(ISERROR(SEARCH("Inf",C21)))</formula>
    </cfRule>
    <cfRule type="containsText" dxfId="4" priority="10" operator="containsText" text="NaN">
      <formula>NOT(ISERROR(SEARCH("NaN",C21)))</formula>
    </cfRule>
    <cfRule type="colorScale" priority="11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34:L41">
    <cfRule type="containsText" dxfId="3" priority="1" operator="containsText" text="Inf">
      <formula>NOT(ISERROR(SEARCH("Inf",C34)))</formula>
    </cfRule>
    <cfRule type="containsText" dxfId="2" priority="4" operator="containsText" text="NaN">
      <formula>NOT(ISERROR(SEARCH("NaN",C34)))</formula>
    </cfRule>
    <cfRule type="colorScale" priority="5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21:M24">
    <cfRule type="containsText" dxfId="1" priority="8" operator="containsText" text="NaN">
      <formula>NOT(ISERROR(SEARCH("NaN",M21)))</formula>
    </cfRule>
    <cfRule type="colorScale" priority="9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34:M37">
    <cfRule type="containsText" dxfId="0" priority="2" operator="containsText" text="NaN">
      <formula>NOT(ISERROR(SEARCH("NaN",M34)))</formula>
    </cfRule>
    <cfRule type="colorScale" priority="3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0039F-0F7B-4DB4-BC89-56D20BBE7290}">
  <dimension ref="B1:AB32"/>
  <sheetViews>
    <sheetView tabSelected="1" workbookViewId="0">
      <selection activeCell="T20" sqref="T20"/>
    </sheetView>
  </sheetViews>
  <sheetFormatPr defaultRowHeight="14.4" x14ac:dyDescent="0.3"/>
  <sheetData>
    <row r="1" spans="2:13" ht="15" thickBot="1" x14ac:dyDescent="0.35"/>
    <row r="2" spans="2:13" ht="15" thickBot="1" x14ac:dyDescent="0.35">
      <c r="B2" s="20" t="s">
        <v>0</v>
      </c>
    </row>
    <row r="3" spans="2:13" x14ac:dyDescent="0.3">
      <c r="C3">
        <v>6.4999999999999997E-3</v>
      </c>
      <c r="D3">
        <v>1.83E-2</v>
      </c>
      <c r="E3">
        <v>4.36E-2</v>
      </c>
      <c r="F3">
        <v>6.9400000000000003E-2</v>
      </c>
      <c r="G3">
        <v>9.5299999999999996E-2</v>
      </c>
      <c r="H3">
        <v>0.1212</v>
      </c>
      <c r="I3">
        <v>0.1482</v>
      </c>
      <c r="J3">
        <v>0.17449999999999999</v>
      </c>
      <c r="K3">
        <v>0.20180000000000001</v>
      </c>
      <c r="L3">
        <v>0.2283</v>
      </c>
      <c r="M3">
        <v>0.25530000000000003</v>
      </c>
    </row>
    <row r="4" spans="2:13" x14ac:dyDescent="0.3">
      <c r="C4">
        <v>5.7000000000000002E-3</v>
      </c>
      <c r="D4">
        <v>1.3299999999999999E-2</v>
      </c>
      <c r="E4">
        <v>3.4700000000000002E-2</v>
      </c>
      <c r="F4">
        <v>5.6399999999999999E-2</v>
      </c>
      <c r="G4">
        <v>7.85E-2</v>
      </c>
      <c r="H4">
        <v>0.1</v>
      </c>
      <c r="I4">
        <v>0.12180000000000001</v>
      </c>
      <c r="J4">
        <v>0.14360000000000001</v>
      </c>
      <c r="K4">
        <v>0.16619999999999999</v>
      </c>
      <c r="L4">
        <v>0.18809999999999999</v>
      </c>
      <c r="M4">
        <v>0.20960000000000001</v>
      </c>
    </row>
    <row r="5" spans="2:13" x14ac:dyDescent="0.3">
      <c r="C5">
        <v>3.7000000000000002E-3</v>
      </c>
      <c r="D5">
        <v>8.6999999999999994E-3</v>
      </c>
      <c r="E5">
        <v>2.5899999999999999E-2</v>
      </c>
      <c r="F5">
        <v>4.3700000000000003E-2</v>
      </c>
      <c r="G5">
        <v>6.1600000000000002E-2</v>
      </c>
      <c r="H5">
        <v>7.9500000000000001E-2</v>
      </c>
      <c r="I5">
        <v>9.74E-2</v>
      </c>
      <c r="J5">
        <v>0.11550000000000001</v>
      </c>
      <c r="K5">
        <v>0.13539999999999999</v>
      </c>
      <c r="L5">
        <v>0.15160000000000001</v>
      </c>
      <c r="M5">
        <v>0.1696</v>
      </c>
    </row>
    <row r="6" spans="2:13" x14ac:dyDescent="0.3">
      <c r="C6">
        <v>2.1499999999999998E-2</v>
      </c>
      <c r="D6">
        <v>4.4999999999999997E-3</v>
      </c>
      <c r="E6">
        <v>1.8100000000000002E-2</v>
      </c>
      <c r="F6">
        <v>3.2000000000000001E-2</v>
      </c>
      <c r="G6">
        <v>4.6300000000000001E-2</v>
      </c>
      <c r="H6">
        <v>6.08E-2</v>
      </c>
      <c r="I6">
        <v>7.5399999999999995E-2</v>
      </c>
      <c r="J6">
        <v>9.01E-2</v>
      </c>
      <c r="K6">
        <v>0.1053</v>
      </c>
      <c r="L6">
        <v>0.1196</v>
      </c>
      <c r="M6">
        <v>0.13450000000000001</v>
      </c>
    </row>
    <row r="7" spans="2:13" x14ac:dyDescent="0.3">
      <c r="C7">
        <v>2.5499999999999998E-2</v>
      </c>
      <c r="D7">
        <v>2.0000000000000001E-4</v>
      </c>
      <c r="E7">
        <v>3.5999999999999999E-3</v>
      </c>
      <c r="F7">
        <v>9.4000000000000004E-3</v>
      </c>
      <c r="G7">
        <v>3.3300000000000003E-2</v>
      </c>
      <c r="H7">
        <v>4.4600000000000001E-2</v>
      </c>
      <c r="I7">
        <v>5.62E-2</v>
      </c>
      <c r="J7">
        <v>6.8099999999999994E-2</v>
      </c>
      <c r="K7">
        <v>8.0100000000000005E-2</v>
      </c>
      <c r="L7">
        <v>9.2200000000000004E-2</v>
      </c>
      <c r="M7">
        <v>0.1043</v>
      </c>
    </row>
    <row r="8" spans="2:13" x14ac:dyDescent="0.3">
      <c r="C8" t="s">
        <v>10</v>
      </c>
      <c r="D8">
        <v>3.0000000000000001E-3</v>
      </c>
      <c r="E8">
        <v>9.7999999999999997E-3</v>
      </c>
      <c r="F8">
        <v>2.41E-2</v>
      </c>
      <c r="G8">
        <v>3.7199999999999997E-2</v>
      </c>
      <c r="H8">
        <v>5.2699999999999997E-2</v>
      </c>
      <c r="I8">
        <v>6.5000000000000002E-2</v>
      </c>
      <c r="J8">
        <v>7.9399999999999998E-2</v>
      </c>
      <c r="K8">
        <v>9.0800000000000006E-2</v>
      </c>
      <c r="L8">
        <v>0.1036</v>
      </c>
      <c r="M8">
        <v>0.1168</v>
      </c>
    </row>
    <row r="9" spans="2:13" x14ac:dyDescent="0.3">
      <c r="C9" t="s">
        <v>10</v>
      </c>
      <c r="D9">
        <v>1.34E-2</v>
      </c>
      <c r="E9">
        <v>1.2800000000000001E-2</v>
      </c>
      <c r="F9">
        <v>3.1699999999999999E-2</v>
      </c>
      <c r="G9">
        <v>4.99E-2</v>
      </c>
      <c r="H9">
        <v>6.3E-2</v>
      </c>
      <c r="I9">
        <v>7.9500000000000001E-2</v>
      </c>
      <c r="J9">
        <v>9.0499999999999997E-2</v>
      </c>
      <c r="K9">
        <v>0.1048</v>
      </c>
      <c r="L9">
        <v>0.1193</v>
      </c>
      <c r="M9">
        <v>0.13400000000000001</v>
      </c>
    </row>
    <row r="10" spans="2:13" x14ac:dyDescent="0.3">
      <c r="C10" t="s">
        <v>10</v>
      </c>
      <c r="D10">
        <v>9.1000000000000004E-3</v>
      </c>
      <c r="E10">
        <v>1.8499999999999999E-2</v>
      </c>
      <c r="F10">
        <v>3.6200000000000003E-2</v>
      </c>
      <c r="G10">
        <v>6.0400000000000002E-2</v>
      </c>
      <c r="H10">
        <v>7.5200000000000003E-2</v>
      </c>
      <c r="I10">
        <v>8.9700000000000002E-2</v>
      </c>
      <c r="J10">
        <v>0.1048</v>
      </c>
      <c r="K10">
        <v>0.12180000000000001</v>
      </c>
      <c r="L10">
        <v>0.13980000000000001</v>
      </c>
      <c r="M10">
        <v>0.1578</v>
      </c>
    </row>
    <row r="11" spans="2:13" x14ac:dyDescent="0.3">
      <c r="C11" t="s">
        <v>10</v>
      </c>
      <c r="D11">
        <v>2.8199999999999999E-2</v>
      </c>
      <c r="E11">
        <v>2.1899999999999999E-2</v>
      </c>
      <c r="F11">
        <v>4.2599999999999999E-2</v>
      </c>
      <c r="G11">
        <v>6.6799999999999998E-2</v>
      </c>
      <c r="H11">
        <v>8.9800000000000005E-2</v>
      </c>
      <c r="I11">
        <v>0.10680000000000001</v>
      </c>
      <c r="J11">
        <v>0.12659999999999999</v>
      </c>
      <c r="K11">
        <v>0.1515</v>
      </c>
      <c r="L11">
        <v>0.17599999999999999</v>
      </c>
      <c r="M11">
        <v>0.19769999999999999</v>
      </c>
    </row>
    <row r="12" spans="2:13" x14ac:dyDescent="0.3">
      <c r="C12" t="s">
        <v>10</v>
      </c>
      <c r="D12">
        <v>3.5099999999999999E-2</v>
      </c>
      <c r="E12">
        <v>3.39E-2</v>
      </c>
      <c r="F12">
        <v>4.8800000000000003E-2</v>
      </c>
      <c r="G12">
        <v>7.1300000000000002E-2</v>
      </c>
      <c r="H12">
        <v>9.69E-2</v>
      </c>
      <c r="I12">
        <v>0.1237</v>
      </c>
      <c r="J12">
        <v>0.14729999999999999</v>
      </c>
      <c r="K12">
        <v>0.17249999999999999</v>
      </c>
      <c r="L12">
        <v>0.19900000000000001</v>
      </c>
      <c r="M12">
        <v>0.22700000000000001</v>
      </c>
    </row>
    <row r="13" spans="2:13" x14ac:dyDescent="0.3">
      <c r="C13" t="s">
        <v>10</v>
      </c>
      <c r="D13" t="s">
        <v>10</v>
      </c>
      <c r="E13">
        <v>4.4200000000000003E-2</v>
      </c>
      <c r="F13">
        <v>4.87E-2</v>
      </c>
      <c r="G13">
        <v>7.7600000000000002E-2</v>
      </c>
      <c r="H13">
        <v>0.10100000000000001</v>
      </c>
      <c r="I13">
        <v>0.1288</v>
      </c>
      <c r="J13">
        <v>0.1527</v>
      </c>
      <c r="K13">
        <v>0.18079999999999999</v>
      </c>
      <c r="L13">
        <v>0.20830000000000001</v>
      </c>
      <c r="M13">
        <v>0.23849999999999999</v>
      </c>
    </row>
    <row r="14" spans="2:13" x14ac:dyDescent="0.3">
      <c r="C14" t="s">
        <v>10</v>
      </c>
      <c r="D14" t="s">
        <v>10</v>
      </c>
      <c r="E14">
        <v>0.06</v>
      </c>
      <c r="F14">
        <v>5.6399999999999999E-2</v>
      </c>
      <c r="G14">
        <v>8.8400000000000006E-2</v>
      </c>
      <c r="H14">
        <v>0.10929999999999999</v>
      </c>
      <c r="I14">
        <v>0.1326</v>
      </c>
      <c r="J14">
        <v>0.15629999999999999</v>
      </c>
      <c r="K14">
        <v>0.1825</v>
      </c>
      <c r="L14">
        <v>0.2112</v>
      </c>
      <c r="M14">
        <v>0.2364</v>
      </c>
    </row>
    <row r="15" spans="2:13" x14ac:dyDescent="0.3">
      <c r="C15" t="s">
        <v>10</v>
      </c>
      <c r="D15" t="s">
        <v>10</v>
      </c>
      <c r="E15" t="s">
        <v>10</v>
      </c>
      <c r="F15">
        <v>9.4399999999999998E-2</v>
      </c>
      <c r="G15">
        <v>0.10589999999999999</v>
      </c>
      <c r="H15">
        <v>0.1227</v>
      </c>
      <c r="I15">
        <v>0.14199999999999999</v>
      </c>
      <c r="J15">
        <v>0.1638</v>
      </c>
      <c r="K15">
        <v>0.18820000000000001</v>
      </c>
      <c r="L15">
        <v>0.21440000000000001</v>
      </c>
      <c r="M15">
        <v>0.2402</v>
      </c>
    </row>
    <row r="16" spans="2:13" x14ac:dyDescent="0.3">
      <c r="C16" t="s">
        <v>10</v>
      </c>
      <c r="D16" t="s">
        <v>10</v>
      </c>
      <c r="E16" t="s">
        <v>10</v>
      </c>
      <c r="F16" t="s">
        <v>10</v>
      </c>
      <c r="G16">
        <v>0.14130000000000001</v>
      </c>
      <c r="H16">
        <v>0.14530000000000001</v>
      </c>
      <c r="I16">
        <v>0.15890000000000001</v>
      </c>
      <c r="J16">
        <v>0.17630000000000001</v>
      </c>
      <c r="K16">
        <v>0.19750000000000001</v>
      </c>
      <c r="L16">
        <v>0.2225</v>
      </c>
      <c r="M16">
        <v>0.24809999999999999</v>
      </c>
    </row>
    <row r="18" spans="2:28" ht="15" thickBot="1" x14ac:dyDescent="0.35"/>
    <row r="19" spans="2:28" ht="15" thickBot="1" x14ac:dyDescent="0.35">
      <c r="B19" s="20" t="s">
        <v>0</v>
      </c>
      <c r="C19">
        <v>0</v>
      </c>
      <c r="D19">
        <v>0.2</v>
      </c>
      <c r="E19">
        <v>0.4</v>
      </c>
      <c r="F19">
        <v>0.6</v>
      </c>
      <c r="G19">
        <v>0.8</v>
      </c>
      <c r="H19">
        <v>1</v>
      </c>
      <c r="I19">
        <v>1.2</v>
      </c>
      <c r="J19">
        <v>1.4</v>
      </c>
      <c r="K19">
        <v>1.6</v>
      </c>
      <c r="L19">
        <v>1.8</v>
      </c>
      <c r="M19">
        <v>2</v>
      </c>
      <c r="N19">
        <v>2.2000000000000002</v>
      </c>
      <c r="O19">
        <v>2.4</v>
      </c>
      <c r="P19">
        <v>2.6</v>
      </c>
      <c r="Q19">
        <v>2.8</v>
      </c>
      <c r="R19">
        <v>3</v>
      </c>
      <c r="S19">
        <v>3.2</v>
      </c>
      <c r="T19">
        <v>3.4</v>
      </c>
      <c r="U19">
        <v>3.6</v>
      </c>
      <c r="V19">
        <v>3.8</v>
      </c>
      <c r="W19">
        <v>4</v>
      </c>
      <c r="X19">
        <v>4.2</v>
      </c>
      <c r="Y19">
        <v>4.4000000000000004</v>
      </c>
      <c r="Z19">
        <v>4.5999999999999996</v>
      </c>
      <c r="AA19">
        <v>4.8</v>
      </c>
      <c r="AB19">
        <v>5</v>
      </c>
    </row>
    <row r="20" spans="2:28" x14ac:dyDescent="0.3">
      <c r="B20">
        <v>0.7</v>
      </c>
      <c r="C20">
        <v>5.1000000000000004E-3</v>
      </c>
      <c r="D20">
        <v>4.7000000000000002E-3</v>
      </c>
      <c r="E20">
        <v>9.4000000000000004E-3</v>
      </c>
      <c r="F20">
        <v>1.7299999999999999E-2</v>
      </c>
      <c r="G20">
        <v>2.5899999999999999E-2</v>
      </c>
      <c r="H20">
        <v>3.4599999999999999E-2</v>
      </c>
      <c r="I20">
        <v>4.3299999999999998E-2</v>
      </c>
      <c r="J20">
        <v>5.1999999999999998E-2</v>
      </c>
      <c r="K20">
        <v>6.1100000000000002E-2</v>
      </c>
      <c r="L20">
        <v>6.9500000000000006E-2</v>
      </c>
      <c r="M20">
        <v>7.8200000000000006E-2</v>
      </c>
      <c r="N20">
        <v>8.6900000000000005E-2</v>
      </c>
      <c r="O20">
        <v>9.5699999999999993E-2</v>
      </c>
      <c r="P20">
        <v>0.1043</v>
      </c>
      <c r="Q20">
        <v>0.11749999999999999</v>
      </c>
      <c r="R20">
        <v>0.12180000000000001</v>
      </c>
      <c r="S20">
        <v>0.1305</v>
      </c>
      <c r="T20" t="s">
        <v>18</v>
      </c>
      <c r="U20">
        <v>0.14799999999999999</v>
      </c>
      <c r="V20">
        <v>0.15670000000000001</v>
      </c>
      <c r="W20">
        <v>0.16539999999999999</v>
      </c>
      <c r="X20">
        <v>0.17530000000000001</v>
      </c>
      <c r="Y20">
        <v>0.18379999999999999</v>
      </c>
      <c r="Z20">
        <v>0.1923</v>
      </c>
      <c r="AA20">
        <v>0.20030000000000001</v>
      </c>
      <c r="AB20">
        <v>0.20910000000000001</v>
      </c>
    </row>
    <row r="21" spans="2:28" x14ac:dyDescent="0.3">
      <c r="B21">
        <v>0.8</v>
      </c>
      <c r="C21">
        <v>4.5999999999999999E-3</v>
      </c>
      <c r="D21">
        <v>3.8E-3</v>
      </c>
      <c r="E21">
        <v>5.4000000000000003E-3</v>
      </c>
      <c r="F21">
        <v>1.1900000000000001E-2</v>
      </c>
      <c r="G21">
        <v>1.8800000000000001E-2</v>
      </c>
      <c r="H21">
        <v>2.5899999999999999E-2</v>
      </c>
      <c r="I21">
        <v>3.3000000000000002E-2</v>
      </c>
      <c r="J21">
        <v>4.0300000000000002E-2</v>
      </c>
      <c r="K21">
        <v>4.7199999999999999E-2</v>
      </c>
      <c r="L21">
        <v>5.4399999999999997E-2</v>
      </c>
      <c r="M21">
        <v>6.1499999999999999E-2</v>
      </c>
      <c r="N21">
        <v>6.8699999999999997E-2</v>
      </c>
      <c r="O21">
        <v>7.6100000000000001E-2</v>
      </c>
      <c r="P21">
        <v>8.3000000000000004E-2</v>
      </c>
      <c r="Q21">
        <v>9.0200000000000002E-2</v>
      </c>
      <c r="R21">
        <v>9.7500000000000003E-2</v>
      </c>
      <c r="S21">
        <v>0.1046</v>
      </c>
      <c r="T21">
        <v>0.1119</v>
      </c>
      <c r="U21">
        <v>0.1191</v>
      </c>
      <c r="V21">
        <v>0.1263</v>
      </c>
      <c r="W21">
        <v>0.13350000000000001</v>
      </c>
      <c r="X21">
        <v>0.1419</v>
      </c>
      <c r="Y21">
        <v>0.14799999999999999</v>
      </c>
      <c r="Z21">
        <v>0.15590000000000001</v>
      </c>
      <c r="AA21">
        <v>0.16289999999999999</v>
      </c>
      <c r="AB21">
        <v>0.17</v>
      </c>
    </row>
    <row r="22" spans="2:28" x14ac:dyDescent="0.3">
      <c r="B22">
        <v>0.9</v>
      </c>
      <c r="C22">
        <v>2.1499999999999998E-2</v>
      </c>
      <c r="D22">
        <v>3.5999999999999999E-3</v>
      </c>
      <c r="E22">
        <v>3.5000000000000001E-3</v>
      </c>
      <c r="F22">
        <v>4.7999999999999996E-3</v>
      </c>
      <c r="G22">
        <v>1.23E-2</v>
      </c>
      <c r="H22">
        <v>1.7899999999999999E-2</v>
      </c>
      <c r="I22">
        <v>2.35E-2</v>
      </c>
      <c r="J22">
        <v>2.92E-2</v>
      </c>
      <c r="K22">
        <v>3.49E-2</v>
      </c>
      <c r="L22">
        <v>4.0599999999999997E-2</v>
      </c>
      <c r="M22">
        <v>4.6399999999999997E-2</v>
      </c>
      <c r="N22">
        <v>5.21E-2</v>
      </c>
      <c r="O22">
        <v>5.79E-2</v>
      </c>
      <c r="P22">
        <v>6.3700000000000007E-2</v>
      </c>
      <c r="Q22">
        <v>6.9699999999999998E-2</v>
      </c>
      <c r="R22">
        <v>7.5399999999999995E-2</v>
      </c>
      <c r="S22">
        <v>8.1299999999999997E-2</v>
      </c>
      <c r="T22">
        <v>8.7099999999999997E-2</v>
      </c>
      <c r="U22">
        <v>9.2999999999999999E-2</v>
      </c>
      <c r="V22">
        <v>9.8900000000000002E-2</v>
      </c>
      <c r="W22">
        <v>0.105</v>
      </c>
      <c r="X22">
        <v>0.1109</v>
      </c>
      <c r="Y22">
        <v>0.1167</v>
      </c>
      <c r="Z22">
        <v>0.1226</v>
      </c>
      <c r="AA22">
        <v>0.1305</v>
      </c>
      <c r="AB22">
        <v>0.1346</v>
      </c>
    </row>
    <row r="23" spans="2:28" x14ac:dyDescent="0.3">
      <c r="B23">
        <v>1</v>
      </c>
      <c r="C23">
        <v>5.0000000000000001E-4</v>
      </c>
      <c r="D23">
        <v>2.8E-3</v>
      </c>
      <c r="E23">
        <v>6.9999999999999999E-4</v>
      </c>
      <c r="F23">
        <v>4.0000000000000001E-3</v>
      </c>
      <c r="G23">
        <v>5.0000000000000001E-3</v>
      </c>
      <c r="H23">
        <v>2.3E-3</v>
      </c>
      <c r="I23">
        <v>8.0000000000000002E-3</v>
      </c>
      <c r="J23">
        <v>5.3E-3</v>
      </c>
      <c r="K23">
        <v>9.7999999999999997E-3</v>
      </c>
      <c r="L23">
        <v>1.9300000000000001E-2</v>
      </c>
      <c r="M23">
        <v>2.1700000000000001E-2</v>
      </c>
      <c r="N23">
        <v>1.2E-2</v>
      </c>
      <c r="O23">
        <v>7.6E-3</v>
      </c>
      <c r="P23">
        <v>4.6899999999999997E-2</v>
      </c>
      <c r="Q23">
        <v>4.8599999999999997E-2</v>
      </c>
      <c r="R23">
        <v>1.9199999999999998E-2</v>
      </c>
      <c r="S23">
        <v>6.0999999999999999E-2</v>
      </c>
      <c r="T23">
        <v>6.5699999999999995E-2</v>
      </c>
      <c r="U23">
        <v>7.0499999999999993E-2</v>
      </c>
      <c r="V23">
        <v>1.9099999999999999E-2</v>
      </c>
      <c r="W23">
        <v>8.0100000000000005E-2</v>
      </c>
      <c r="X23">
        <v>8.5000000000000006E-2</v>
      </c>
      <c r="Y23">
        <v>8.9899999999999994E-2</v>
      </c>
      <c r="Z23">
        <v>9.4600000000000004E-2</v>
      </c>
      <c r="AA23">
        <v>9.9699999999999997E-2</v>
      </c>
      <c r="AB23">
        <v>0.1043</v>
      </c>
    </row>
    <row r="24" spans="2:28" x14ac:dyDescent="0.3">
      <c r="B24">
        <v>1.1000000000000001</v>
      </c>
      <c r="C24" t="s">
        <v>10</v>
      </c>
      <c r="D24">
        <v>2.2599999999999999E-2</v>
      </c>
      <c r="E24">
        <v>6.3E-3</v>
      </c>
      <c r="F24">
        <v>3.3E-3</v>
      </c>
      <c r="G24">
        <v>6.6E-3</v>
      </c>
      <c r="H24">
        <v>1.0800000000000001E-2</v>
      </c>
      <c r="I24">
        <v>1.8100000000000002E-2</v>
      </c>
      <c r="J24">
        <v>2.0199999999999999E-2</v>
      </c>
      <c r="K24">
        <v>2.5100000000000001E-2</v>
      </c>
      <c r="L24">
        <v>3.61E-2</v>
      </c>
      <c r="M24">
        <v>3.6499999999999998E-2</v>
      </c>
      <c r="N24">
        <v>4.5600000000000002E-2</v>
      </c>
      <c r="O24">
        <v>5.0299999999999997E-2</v>
      </c>
      <c r="P24">
        <v>5.6500000000000002E-2</v>
      </c>
      <c r="Q24">
        <v>6.0199999999999997E-2</v>
      </c>
      <c r="R24">
        <v>6.5199999999999994E-2</v>
      </c>
      <c r="S24">
        <v>7.0000000000000007E-2</v>
      </c>
      <c r="T24">
        <v>7.51E-2</v>
      </c>
      <c r="U24">
        <v>8.0199999999999994E-2</v>
      </c>
      <c r="V24">
        <v>8.5500000000000007E-2</v>
      </c>
      <c r="W24">
        <v>9.0499999999999997E-2</v>
      </c>
      <c r="X24">
        <v>9.5799999999999996E-2</v>
      </c>
      <c r="Y24">
        <v>0.1009</v>
      </c>
      <c r="Z24">
        <v>0.1062</v>
      </c>
      <c r="AA24">
        <v>0.1116</v>
      </c>
      <c r="AB24">
        <v>0.1168</v>
      </c>
    </row>
    <row r="25" spans="2:28" x14ac:dyDescent="0.3">
      <c r="B25">
        <v>1.2</v>
      </c>
      <c r="C25" t="s">
        <v>10</v>
      </c>
      <c r="D25">
        <v>2.7900000000000001E-2</v>
      </c>
      <c r="E25">
        <v>6.4000000000000003E-3</v>
      </c>
      <c r="F25">
        <v>5.7000000000000002E-3</v>
      </c>
      <c r="G25">
        <v>9.2999999999999992E-3</v>
      </c>
      <c r="H25">
        <v>1.2800000000000001E-2</v>
      </c>
      <c r="I25">
        <v>1.9699999999999999E-2</v>
      </c>
      <c r="J25">
        <v>2.75E-2</v>
      </c>
      <c r="K25">
        <v>3.9800000000000002E-2</v>
      </c>
      <c r="L25">
        <v>4.5600000000000002E-2</v>
      </c>
      <c r="M25">
        <v>5.1499999999999997E-2</v>
      </c>
      <c r="N25">
        <v>5.7000000000000002E-2</v>
      </c>
      <c r="O25">
        <v>6.2899999999999998E-2</v>
      </c>
      <c r="P25">
        <v>6.5699999999999995E-2</v>
      </c>
      <c r="Q25">
        <v>7.1300000000000002E-2</v>
      </c>
      <c r="R25">
        <v>7.6600000000000001E-2</v>
      </c>
      <c r="S25">
        <v>8.2400000000000001E-2</v>
      </c>
      <c r="T25">
        <v>9.2499999999999999E-2</v>
      </c>
      <c r="U25">
        <v>9.3399999999999997E-2</v>
      </c>
      <c r="V25">
        <v>9.9000000000000005E-2</v>
      </c>
      <c r="W25">
        <v>0.1048</v>
      </c>
      <c r="X25">
        <v>0.1105</v>
      </c>
      <c r="Y25">
        <v>0.1163</v>
      </c>
      <c r="Z25">
        <v>0.12230000000000001</v>
      </c>
      <c r="AA25">
        <v>0.12809999999999999</v>
      </c>
      <c r="AB25">
        <v>0.13400000000000001</v>
      </c>
    </row>
    <row r="26" spans="2:28" x14ac:dyDescent="0.3">
      <c r="B26">
        <v>1.3</v>
      </c>
      <c r="C26" t="s">
        <v>10</v>
      </c>
      <c r="D26" t="s">
        <v>10</v>
      </c>
      <c r="E26">
        <v>2.5100000000000001E-2</v>
      </c>
      <c r="F26">
        <v>1.12E-2</v>
      </c>
      <c r="G26">
        <v>1.1900000000000001E-2</v>
      </c>
      <c r="H26">
        <v>1.7899999999999999E-2</v>
      </c>
      <c r="I26">
        <v>2.3900000000000001E-2</v>
      </c>
      <c r="J26">
        <v>3.1899999999999998E-2</v>
      </c>
      <c r="K26">
        <v>4.0899999999999999E-2</v>
      </c>
      <c r="L26">
        <v>5.0900000000000001E-2</v>
      </c>
      <c r="M26">
        <v>6.0900000000000003E-2</v>
      </c>
      <c r="N26">
        <v>6.8500000000000005E-2</v>
      </c>
      <c r="O26">
        <v>7.1400000000000005E-2</v>
      </c>
      <c r="P26">
        <v>7.7299999999999994E-2</v>
      </c>
      <c r="Q26">
        <v>9.0700000000000003E-2</v>
      </c>
      <c r="R26">
        <v>9.1200000000000003E-2</v>
      </c>
      <c r="S26">
        <v>9.5200000000000007E-2</v>
      </c>
      <c r="T26">
        <v>0.10150000000000001</v>
      </c>
      <c r="U26">
        <v>0.1113</v>
      </c>
      <c r="V26">
        <v>0.1197</v>
      </c>
      <c r="W26">
        <v>0.1203</v>
      </c>
      <c r="X26">
        <v>0.13600000000000001</v>
      </c>
      <c r="Y26">
        <v>0.1356</v>
      </c>
      <c r="Z26">
        <v>0.14080000000000001</v>
      </c>
      <c r="AA26">
        <v>0.1489</v>
      </c>
      <c r="AB26">
        <v>0.158</v>
      </c>
    </row>
    <row r="27" spans="2:28" x14ac:dyDescent="0.3">
      <c r="B27">
        <v>1.4</v>
      </c>
      <c r="C27" t="s">
        <v>10</v>
      </c>
      <c r="D27" t="s">
        <v>10</v>
      </c>
      <c r="E27">
        <v>3.15E-2</v>
      </c>
      <c r="F27">
        <v>2.5899999999999999E-2</v>
      </c>
      <c r="G27">
        <v>1.49E-2</v>
      </c>
      <c r="H27">
        <v>2.4799999999999999E-2</v>
      </c>
      <c r="I27">
        <v>3.1300000000000001E-2</v>
      </c>
      <c r="J27">
        <v>3.8600000000000002E-2</v>
      </c>
      <c r="K27">
        <v>4.7100000000000003E-2</v>
      </c>
      <c r="L27">
        <v>5.6500000000000002E-2</v>
      </c>
      <c r="M27">
        <v>6.6900000000000001E-2</v>
      </c>
      <c r="N27">
        <v>7.7899999999999997E-2</v>
      </c>
      <c r="O27">
        <v>8.5400000000000004E-2</v>
      </c>
      <c r="P27">
        <v>9.4200000000000006E-2</v>
      </c>
      <c r="Q27">
        <v>0.10150000000000001</v>
      </c>
      <c r="R27">
        <v>0.1072</v>
      </c>
      <c r="S27">
        <v>0.11559999999999999</v>
      </c>
      <c r="T27">
        <v>0.1236</v>
      </c>
      <c r="U27">
        <v>0.1308</v>
      </c>
      <c r="V27">
        <v>0.14169999999999999</v>
      </c>
      <c r="W27">
        <v>0.1515</v>
      </c>
      <c r="X27">
        <v>0.161</v>
      </c>
      <c r="Y27">
        <v>0.16889999999999999</v>
      </c>
      <c r="Z27">
        <v>0.1888</v>
      </c>
      <c r="AA27">
        <v>0.19070000000000001</v>
      </c>
      <c r="AB27">
        <v>0.19639999999999999</v>
      </c>
    </row>
    <row r="28" spans="2:28" x14ac:dyDescent="0.3">
      <c r="B28">
        <v>1.5</v>
      </c>
      <c r="C28" t="s">
        <v>10</v>
      </c>
      <c r="D28" t="s">
        <v>10</v>
      </c>
      <c r="E28" t="s">
        <v>10</v>
      </c>
      <c r="F28">
        <v>3.3099999999999997E-2</v>
      </c>
      <c r="G28">
        <v>3.1899999999999998E-2</v>
      </c>
      <c r="H28">
        <v>3.5099999999999999E-2</v>
      </c>
      <c r="I28">
        <v>3.32E-2</v>
      </c>
      <c r="J28">
        <v>4.4900000000000002E-2</v>
      </c>
      <c r="K28">
        <v>5.28E-2</v>
      </c>
      <c r="L28">
        <v>6.1699999999999998E-2</v>
      </c>
      <c r="M28">
        <v>7.1400000000000005E-2</v>
      </c>
      <c r="N28">
        <v>8.1299999999999997E-2</v>
      </c>
      <c r="O28">
        <v>9.1800000000000007E-2</v>
      </c>
      <c r="P28">
        <v>0.1022</v>
      </c>
      <c r="Q28">
        <v>0.1132</v>
      </c>
      <c r="R28">
        <v>0.1235</v>
      </c>
      <c r="S28">
        <v>0.13250000000000001</v>
      </c>
      <c r="T28">
        <v>0.14219999999999999</v>
      </c>
      <c r="U28">
        <v>0.15290000000000001</v>
      </c>
      <c r="V28">
        <v>0.16220000000000001</v>
      </c>
      <c r="W28">
        <v>0.17230000000000001</v>
      </c>
      <c r="X28">
        <v>0.18279999999999999</v>
      </c>
      <c r="Y28">
        <v>0.1938</v>
      </c>
      <c r="Z28">
        <v>0.20569999999999999</v>
      </c>
      <c r="AA28">
        <v>0.2157</v>
      </c>
      <c r="AB28">
        <v>0.22700000000000001</v>
      </c>
    </row>
    <row r="29" spans="2:28" x14ac:dyDescent="0.3">
      <c r="B29">
        <v>1.6</v>
      </c>
      <c r="C29" t="s">
        <v>10</v>
      </c>
      <c r="D29" t="s">
        <v>10</v>
      </c>
      <c r="E29" t="s">
        <v>10</v>
      </c>
      <c r="F29">
        <v>4.3499999999999997E-2</v>
      </c>
      <c r="G29">
        <v>4.24E-2</v>
      </c>
      <c r="H29">
        <v>4.4200000000000003E-2</v>
      </c>
      <c r="I29">
        <v>4.8399999999999999E-2</v>
      </c>
      <c r="J29">
        <v>5.4300000000000001E-2</v>
      </c>
      <c r="K29">
        <v>6.13E-2</v>
      </c>
      <c r="L29">
        <v>6.9099999999999995E-2</v>
      </c>
      <c r="M29">
        <v>7.7600000000000002E-2</v>
      </c>
      <c r="N29">
        <v>9.2999999999999999E-2</v>
      </c>
      <c r="O29">
        <v>9.6600000000000005E-2</v>
      </c>
      <c r="P29">
        <v>0.10589999999999999</v>
      </c>
      <c r="Q29">
        <v>0.1159</v>
      </c>
      <c r="R29">
        <v>0.12620000000000001</v>
      </c>
      <c r="S29">
        <v>0.13669999999999999</v>
      </c>
      <c r="T29">
        <v>0.1489</v>
      </c>
      <c r="U29">
        <v>0.1585</v>
      </c>
      <c r="V29">
        <v>0.16919999999999999</v>
      </c>
      <c r="W29">
        <v>0.18</v>
      </c>
      <c r="X29">
        <v>0.19500000000000001</v>
      </c>
      <c r="Y29">
        <v>0.2031</v>
      </c>
      <c r="Z29">
        <v>0.21640000000000001</v>
      </c>
      <c r="AA29">
        <v>0.2261</v>
      </c>
      <c r="AB29">
        <v>0.23780000000000001</v>
      </c>
    </row>
    <row r="30" spans="2:28" x14ac:dyDescent="0.3">
      <c r="B30">
        <v>1.7</v>
      </c>
      <c r="C30" t="s">
        <v>10</v>
      </c>
      <c r="D30" t="s">
        <v>10</v>
      </c>
      <c r="E30" t="s">
        <v>10</v>
      </c>
      <c r="F30" t="s">
        <v>10</v>
      </c>
      <c r="G30">
        <v>5.96E-2</v>
      </c>
      <c r="H30">
        <v>0.06</v>
      </c>
      <c r="I30">
        <v>6.3200000000000006E-2</v>
      </c>
      <c r="J30">
        <v>6.8199999999999997E-2</v>
      </c>
      <c r="K30">
        <v>7.4200000000000002E-2</v>
      </c>
      <c r="L30">
        <v>8.7999999999999995E-2</v>
      </c>
      <c r="M30">
        <v>8.8499999999999995E-2</v>
      </c>
      <c r="N30">
        <v>9.64E-2</v>
      </c>
      <c r="O30">
        <v>0.10489999999999999</v>
      </c>
      <c r="P30">
        <v>0.1135</v>
      </c>
      <c r="Q30">
        <v>0.1225</v>
      </c>
      <c r="R30">
        <v>0.1331</v>
      </c>
      <c r="S30">
        <v>0.1419</v>
      </c>
      <c r="T30">
        <v>0.15129999999999999</v>
      </c>
      <c r="U30">
        <v>0.16139999999999999</v>
      </c>
      <c r="V30">
        <v>0.1716</v>
      </c>
      <c r="W30">
        <v>0.18310000000000001</v>
      </c>
      <c r="X30">
        <v>0.1928</v>
      </c>
      <c r="Y30">
        <v>0.20349999999999999</v>
      </c>
      <c r="Z30">
        <v>0.216</v>
      </c>
      <c r="AA30">
        <v>0.2281</v>
      </c>
      <c r="AB30">
        <v>0.2364</v>
      </c>
    </row>
    <row r="31" spans="2:28" x14ac:dyDescent="0.3">
      <c r="B31">
        <v>1.8</v>
      </c>
      <c r="C31" t="s">
        <v>10</v>
      </c>
      <c r="D31" t="s">
        <v>10</v>
      </c>
      <c r="E31" t="s">
        <v>10</v>
      </c>
      <c r="F31" t="s">
        <v>10</v>
      </c>
      <c r="G31" t="s">
        <v>10</v>
      </c>
      <c r="H31" t="s">
        <v>10</v>
      </c>
      <c r="I31">
        <v>9.3200000000000005E-2</v>
      </c>
      <c r="J31">
        <v>9.3399999999999997E-2</v>
      </c>
      <c r="K31">
        <v>9.5799999999999996E-2</v>
      </c>
      <c r="L31">
        <v>0.1004</v>
      </c>
      <c r="M31">
        <v>0.106</v>
      </c>
      <c r="N31">
        <v>0.11219999999999999</v>
      </c>
      <c r="O31">
        <v>0.11899999999999999</v>
      </c>
      <c r="P31">
        <v>0.1265</v>
      </c>
      <c r="Q31">
        <v>0.1341</v>
      </c>
      <c r="R31">
        <v>0.14230000000000001</v>
      </c>
      <c r="S31">
        <v>0.15090000000000001</v>
      </c>
      <c r="T31">
        <v>0.15920000000000001</v>
      </c>
      <c r="U31">
        <v>0.16900000000000001</v>
      </c>
      <c r="V31">
        <v>0.17810000000000001</v>
      </c>
      <c r="W31">
        <v>0.1885</v>
      </c>
      <c r="X31">
        <v>0.19839999999999999</v>
      </c>
      <c r="Y31">
        <v>0.2087</v>
      </c>
      <c r="Z31">
        <v>0.21909999999999999</v>
      </c>
      <c r="AA31">
        <v>0.22969999999999999</v>
      </c>
      <c r="AB31">
        <v>0.2429</v>
      </c>
    </row>
    <row r="32" spans="2:28" x14ac:dyDescent="0.3">
      <c r="B32">
        <v>1.9</v>
      </c>
      <c r="C32" t="s">
        <v>10</v>
      </c>
      <c r="D32" t="s">
        <v>10</v>
      </c>
      <c r="E32" t="s">
        <v>10</v>
      </c>
      <c r="F32" t="s">
        <v>10</v>
      </c>
      <c r="G32" t="s">
        <v>10</v>
      </c>
      <c r="H32" t="s">
        <v>10</v>
      </c>
      <c r="I32" t="s">
        <v>10</v>
      </c>
      <c r="J32" t="s">
        <v>10</v>
      </c>
      <c r="K32" t="s">
        <v>10</v>
      </c>
      <c r="L32">
        <v>0.14649999999999999</v>
      </c>
      <c r="M32">
        <v>0.1414</v>
      </c>
      <c r="N32">
        <v>0.14119999999999999</v>
      </c>
      <c r="O32">
        <v>0.1452</v>
      </c>
      <c r="P32">
        <v>0.1484</v>
      </c>
      <c r="Q32">
        <v>0.1532</v>
      </c>
      <c r="R32">
        <v>0.1588</v>
      </c>
      <c r="S32">
        <v>0.16830000000000001</v>
      </c>
      <c r="T32">
        <v>0.17180000000000001</v>
      </c>
      <c r="U32">
        <v>0.1799</v>
      </c>
      <c r="V32">
        <v>0.1883</v>
      </c>
      <c r="W32">
        <v>0.1976</v>
      </c>
      <c r="X32">
        <v>0.2074</v>
      </c>
      <c r="Y32">
        <v>0.21829999999999999</v>
      </c>
      <c r="Z32">
        <v>0.22989999999999999</v>
      </c>
      <c r="AA32">
        <v>0.23769999999999999</v>
      </c>
      <c r="AB32">
        <v>0.24859999999999999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CritGain</vt:lpstr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2026-05-27T20:53:49Z</dcterms:created>
  <dcterms:modified xsi:type="dcterms:W3CDTF">2026-06-02T12:24:11Z</dcterms:modified>
</cp:coreProperties>
</file>